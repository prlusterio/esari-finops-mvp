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/>
  <calcPr calcId="0" fullCalcOnLoad="1"/>
  <sheets>
    <sheet name="Load calculator" sheetId="1" r:id="rId1"/>
    <sheet name="Sale calculator" sheetId="2" r:id="rId2"/>
    <sheet name="Worked examples" sheetId="3" r:id="rId3"/>
    <sheet name="Demo defaults" sheetId="4" r:id="rId4"/>
    <sheet name="Read me" sheetId="5" r:id="rId5"/>
    <sheet name="All formulas" sheetId="6" r:id="rId6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5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0F172A"/>
      <name val="Calibri"/>
      <family val="2"/>
    </font>
    <font>
      <b/>
      <sz val="11"/>
      <color rgb="FF1D4ED8"/>
      <name val="Calibri"/>
      <family val="2"/>
    </font>
    <font>
      <sz val="10"/>
      <color rgb="FF47556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0" fillId="3" borderId="1" xfId="0" applyFill="1" applyBorder="1"/>
    <xf numFmtId="0" fontId="0" fillId="4" borderId="1" xfId="0" applyFill="1" applyBorder="1"/>
    <xf numFmtId="0" fontId="3" fillId="5" borderId="0" xfId="0" applyFont="1" applyFill="1"/>
    <xf numFmtId="0" fontId="4" fillId="0" borderId="0" xfId="0" applyFont="1" applyAlignment="1">
      <alignment wrapText="1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2" fontId="0" fillId="0" borderId="1" xfId="0" applyNumberFormat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2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24"/>
  <sheetViews>
    <sheetView workbookViewId="0" tabSelected="1"/>
  </sheetViews>
  <sheetFormatPr defaultRowHeight="15"/>
  <cols>
    <col min="1" max="1" width="36" customWidth="1"/>
    <col min="2" max="2" width="18" customWidth="1"/>
    <col min="3" max="3" width="18" customWidth="1"/>
    <col min="4" max="4" width="22" customWidth="1"/>
    <col min="5" max="5" width="28" customWidth="1"/>
    <col min="6" max="6" width="36" customWidth="1"/>
    <col min="7" max="7" width="24" customWidth="1"/>
    <col min="8" max="8" width="16" customWidth="1"/>
  </cols>
  <sheetData>
    <row r="1">
      <c r="A1" s="15" t="inlineStr">
        <is>
          <t xml:space="preserve">A. Cash → credits (edit yellow cells)</t>
        </is>
      </c>
    </row>
    <row r="2">
      <c r="A2" s="4" t="inlineStr">
        <is>
          <t xml:space="preserve">Cash deposited (₱)</t>
        </is>
      </c>
      <c r="B2" s="7">
        <v>7000</v>
      </c>
      <c r="C2" s="0" t="inlineStr">
        <is>
          <t xml:space="preserve">Yellow = input</t>
        </is>
      </c>
    </row>
    <row r="3">
      <c r="A3" s="4" t="inlineStr">
        <is>
          <t xml:space="preserve">Deposit rate</t>
        </is>
      </c>
      <c r="B3" s="10">
        <v>0.7</v>
      </c>
      <c r="C3" s="0" t="inlineStr">
        <is>
          <t xml:space="preserve">60% = 0.60, 70% = 0.70, 80% = 0.80</t>
        </is>
      </c>
    </row>
    <row r="4">
      <c r="A4" s="0" t="inlineStr">
        <is>
          <t xml:space="preserve">Suggested credits</t>
        </is>
      </c>
      <c r="B4" s="8">
        <f>ROUND(B2/B3,2)</f>
      </c>
      <c r="C4" s="0" t="inlineStr">
        <is>
          <t xml:space="preserve">credits = deposit ÷ rate</t>
        </is>
      </c>
    </row>
    <row r="5">
      <c r="A5" s="0" t="inlineStr">
        <is>
          <t xml:space="preserve">Cash for 1,000 credits</t>
        </is>
      </c>
      <c r="B5" s="8">
        <f>ROUND(1000*B3,2)</f>
      </c>
      <c r="C5" s="0" t="inlineStr">
        <is>
          <t xml:space="preserve">Shown in the suggested-credits explanation</t>
        </is>
      </c>
    </row>
    <row r="7">
      <c r="A7" s="15" t="inlineStr">
        <is>
          <t xml:space="preserve">B. Credits moving down the default chain</t>
        </is>
      </c>
      <c r="G7" s="4" t="inlineStr">
        <is>
          <t xml:space="preserve">Credits in this example</t>
        </is>
      </c>
      <c r="H7" s="13">
        <v>1000</v>
      </c>
    </row>
    <row r="8">
      <c r="A8" s="1" t="inlineStr">
        <is>
          <t xml:space="preserve">Hop</t>
        </is>
      </c>
      <c r="B8" s="1" t="inlineStr">
        <is>
          <t xml:space="preserve">Deposit rate</t>
        </is>
      </c>
      <c r="C8" s="1" t="inlineStr">
        <is>
          <t xml:space="preserve">Cash paid (₱)</t>
        </is>
      </c>
      <c r="D8" s="1" t="inlineStr">
        <is>
          <t xml:space="preserve">Credits received</t>
        </is>
      </c>
      <c r="E8" s="1" t="inlineStr">
        <is>
          <t xml:space="preserve">Seller cost (₱)</t>
        </is>
      </c>
      <c r="F8" s="1" t="inlineStr">
        <is>
          <t xml:space="preserve">Seller IC earnings (₱)</t>
        </is>
      </c>
    </row>
    <row r="9">
      <c r="A9" s="0" t="inlineStr">
        <is>
          <t xml:space="preserve">Admin → Sub-Franchisee</t>
        </is>
      </c>
      <c r="B9" s="10">
        <v>0.6</v>
      </c>
      <c r="C9" s="8">
        <f>ROUND($H$7*B9,2)</f>
      </c>
      <c r="D9" s="14">
        <f>$H$7</f>
      </c>
      <c r="E9" s="6">
        <v>0</v>
      </c>
      <c r="F9" s="8">
        <f>C9</f>
      </c>
    </row>
    <row r="10">
      <c r="A10" s="0" t="inlineStr">
        <is>
          <t xml:space="preserve">Sub-Franchisee → Franchisee</t>
        </is>
      </c>
      <c r="B10" s="10">
        <v>0.7</v>
      </c>
      <c r="C10" s="8">
        <f>ROUND($H$7*B10,2)</f>
      </c>
      <c r="D10" s="14">
        <f>$H$7</f>
      </c>
      <c r="E10" s="8">
        <f>ROUND($H$7*B9,2)</f>
      </c>
      <c r="F10" s="8">
        <f>ROUND(C10-E10,2)</f>
      </c>
    </row>
    <row r="11">
      <c r="A11" s="0" t="inlineStr">
        <is>
          <t xml:space="preserve">Franchisee → Retailer</t>
        </is>
      </c>
      <c r="B11" s="10">
        <v>0.8</v>
      </c>
      <c r="C11" s="8">
        <f>ROUND($H$7*B11,2)</f>
      </c>
      <c r="D11" s="14">
        <f>$H$7</f>
      </c>
      <c r="E11" s="8">
        <f>ROUND($H$7*B10,2)</f>
      </c>
      <c r="F11" s="8">
        <f>ROUND(C11-E11,2)</f>
      </c>
    </row>
    <row r="13">
      <c r="A13" s="5" t="inlineStr">
        <is>
          <t xml:space="preserve">Admin IC earnings = cash collected (column F = column C). Sub/Fran IC earnings = spread in column F. Retailer does not earn a load spread.</t>
        </is>
      </c>
    </row>
    <row r="15">
      <c r="A15" s="15" t="inlineStr">
        <is>
          <t xml:space="preserve">C. Sub / Franchisee Internet Credits earnings on one release</t>
        </is>
      </c>
    </row>
    <row r="16">
      <c r="A16" s="4" t="inlineStr">
        <is>
          <t xml:space="preserve">Cash in from downline (₱)</t>
        </is>
      </c>
      <c r="B16" s="7">
        <v>14000</v>
      </c>
    </row>
    <row r="17">
      <c r="A17" s="4" t="inlineStr">
        <is>
          <t xml:space="preserve">Credits released</t>
        </is>
      </c>
      <c r="B17" s="7">
        <v>20000</v>
      </c>
    </row>
    <row r="18">
      <c r="A18" s="4" t="inlineStr">
        <is>
          <t xml:space="preserve">Your buy rate (what you paid your upline)</t>
        </is>
      </c>
      <c r="B18" s="10">
        <v>0.6</v>
      </c>
    </row>
    <row r="19">
      <c r="A19" s="0" t="inlineStr">
        <is>
          <t xml:space="preserve">Sell rate on this release (optional check)</t>
        </is>
      </c>
      <c r="B19" s="10">
        <v>0.7</v>
      </c>
    </row>
    <row r="20">
      <c r="A20" s="0" t="inlineStr">
        <is>
          <t xml:space="preserve">Your cost for those credits</t>
        </is>
      </c>
      <c r="B20" s="8">
        <f>ROUND(B17*B18,2)</f>
      </c>
      <c r="C20" s="0" t="inlineStr">
        <is>
          <t xml:space="preserve">credits × buy rate</t>
        </is>
      </c>
    </row>
    <row r="21">
      <c r="A21" s="0" t="inlineStr">
        <is>
          <t xml:space="preserve">Internet Credits earnings (spread)</t>
        </is>
      </c>
      <c r="B21" s="8">
        <f>ROUND(B16-B20,2)</f>
      </c>
      <c r="C21" s="0" t="inlineStr">
        <is>
          <t xml:space="preserve">cash in − cost</t>
        </is>
      </c>
    </row>
    <row r="22">
      <c r="A22" s="0" t="inlineStr">
        <is>
          <t xml:space="preserve">Implied sell rate</t>
        </is>
      </c>
      <c r="B22" s="11">
        <f>IF(B17=0,0,B16/B17)</f>
      </c>
      <c r="C22" s="0" t="inlineStr">
        <is>
          <t xml:space="preserve">Should match the downline’s deposit rate if you did not override credits</t>
        </is>
      </c>
    </row>
    <row r="24">
      <c r="A24" s="5" t="inlineStr">
        <is>
          <t xml:space="preserve">Direct Release uses the same formulas as a released request. It only skips the pending queue.</t>
        </is>
      </c>
    </row>
  </sheetData>
</worksheet>
</file>

<file path=xl/worksheets/sheet2.xml><?xml version="1.0" encoding="utf-8"?>
<worksheet xmlns="http://schemas.openxmlformats.org/spreadsheetml/2006/main">
  <dimension ref="A1:C30"/>
  <sheetViews>
    <sheetView workbookViewId="0" tabSelected="0"/>
  </sheetViews>
  <sheetFormatPr defaultRowHeight="15"/>
  <cols>
    <col min="1" max="1" width="40" customWidth="1"/>
    <col min="2" max="2" width="18" customWidth="1"/>
    <col min="3" max="3" width="42" customWidth="1"/>
    <col min="4" max="4" width="18" customWidth="1"/>
  </cols>
  <sheetData>
    <row r="1">
      <c r="A1" s="15" t="inlineStr">
        <is>
          <t xml:space="preserve">Demo internet sale (edit yellow cells)</t>
        </is>
      </c>
    </row>
    <row r="2">
      <c r="A2" s="4" t="inlineStr">
        <is>
          <t xml:space="preserve">Customer payment (₱)</t>
        </is>
      </c>
      <c r="B2" s="7">
        <v>1000</v>
      </c>
      <c r="C2" s="0" t="inlineStr">
        <is>
          <t xml:space="preserve">What Record demo sale asks for</t>
        </is>
      </c>
    </row>
    <row r="4">
      <c r="A4" s="4" t="inlineStr">
        <is>
          <t xml:space="preserve">What the app shows</t>
        </is>
      </c>
    </row>
    <row r="5">
      <c r="A5" s="1" t="inlineStr">
        <is>
          <t xml:space="preserve">Line</t>
        </is>
      </c>
      <c r="B5" s="1" t="inlineStr">
        <is>
          <t xml:space="preserve">Amount (₱)</t>
        </is>
      </c>
      <c r="C5" s="1" t="inlineStr">
        <is>
          <t xml:space="preserve">Formula</t>
        </is>
      </c>
    </row>
    <row r="6">
      <c r="A6" s="0" t="inlineStr">
        <is>
          <t xml:space="preserve">Customer payment</t>
        </is>
      </c>
      <c r="B6" s="8">
        <f>B2</f>
      </c>
      <c r="C6" s="0" t="inlineStr">
        <is>
          <t xml:space="preserve">Same as the amount you entered</t>
        </is>
      </c>
    </row>
    <row r="7">
      <c r="A7" s="0" t="inlineStr">
        <is>
          <t xml:space="preserve">Credits consumed</t>
        </is>
      </c>
      <c r="B7" s="8">
        <f>ROUND(B2*0.97,2)</f>
      </c>
      <c r="C7" s="0" t="inlineStr">
        <is>
          <t xml:space="preserve">97% of payment — burned from Available Credits</t>
        </is>
      </c>
    </row>
    <row r="8">
      <c r="A8" s="0" t="inlineStr">
        <is>
          <t xml:space="preserve">Commission pool / sale margin</t>
        </is>
      </c>
      <c r="B8" s="8">
        <f>ROUND(B6-B7,2)</f>
      </c>
      <c r="C8" s="0" t="inlineStr">
        <is>
          <t xml:space="preserve">The remaining 3%. This is the pool, not one party’s profit</t>
        </is>
      </c>
    </row>
    <row r="10">
      <c r="A10" s="15" t="inlineStr">
        <is>
          <t xml:space="preserve">Commission split (Retailer A demo defaults)</t>
        </is>
      </c>
    </row>
    <row r="11">
      <c r="A11" s="4" t="inlineStr">
        <is>
          <t xml:space="preserve">Retailer %</t>
        </is>
      </c>
      <c r="B11" s="10">
        <v>0.25</v>
      </c>
    </row>
    <row r="12">
      <c r="A12" s="4" t="inlineStr">
        <is>
          <t xml:space="preserve">Franchisee %</t>
        </is>
      </c>
      <c r="B12" s="10">
        <v>0.2</v>
      </c>
    </row>
    <row r="13">
      <c r="A13" s="4" t="inlineStr">
        <is>
          <t xml:space="preserve">Sub-Franchisee %</t>
        </is>
      </c>
      <c r="B13" s="10">
        <v>0.15</v>
      </c>
    </row>
    <row r="14">
      <c r="A14" s="4" t="inlineStr">
        <is>
          <t xml:space="preserve">Platform %</t>
        </is>
      </c>
      <c r="B14" s="10">
        <v>0.4</v>
      </c>
    </row>
    <row r="15">
      <c r="A15" s="0" t="inlineStr">
        <is>
          <t xml:space="preserve">Sum of % (must be 100%)</t>
        </is>
      </c>
      <c r="B15" s="11">
        <f>B11+B12+B13+B14</f>
      </c>
    </row>
    <row r="17">
      <c r="A17" s="1" t="inlineStr">
        <is>
          <t xml:space="preserve">Party</t>
        </is>
      </c>
      <c r="B17" s="1" t="inlineStr">
        <is>
          <t xml:space="preserve">Share of pool (₱)</t>
        </is>
      </c>
      <c r="C17" s="1" t="inlineStr">
        <is>
          <t xml:space="preserve">Check</t>
        </is>
      </c>
    </row>
    <row r="18">
      <c r="A18" s="0" t="inlineStr">
        <is>
          <t xml:space="preserve">Retailer</t>
        </is>
      </c>
      <c r="B18" s="8">
        <f>ROUND($B$8*B11,2)</f>
      </c>
    </row>
    <row r="19">
      <c r="A19" s="0" t="inlineStr">
        <is>
          <t xml:space="preserve">Franchisee</t>
        </is>
      </c>
      <c r="B19" s="8">
        <f>ROUND($B$8*B12,2)</f>
      </c>
    </row>
    <row r="20">
      <c r="A20" s="0" t="inlineStr">
        <is>
          <t xml:space="preserve">Sub-Franchisee</t>
        </is>
      </c>
      <c r="B20" s="8">
        <f>ROUND($B$8*B13,2)</f>
      </c>
    </row>
    <row r="21">
      <c r="A21" s="0" t="inlineStr">
        <is>
          <t xml:space="preserve">Platform (remainder after rounding)</t>
        </is>
      </c>
      <c r="B21" s="8">
        <f>ROUND($B$8-B18-B19-B20,2)</f>
      </c>
      <c r="C21" s="0" t="inlineStr">
        <is>
          <t xml:space="preserve">Not ROUND(pool×40%) — leftover cents go here</t>
        </is>
      </c>
    </row>
    <row r="22">
      <c r="A22" s="0" t="inlineStr">
        <is>
          <t xml:space="preserve">Total distributed</t>
        </is>
      </c>
      <c r="B22" s="8">
        <f>ROUND(B18+B19+B20+B21,2)</f>
      </c>
      <c r="C22" s="0" t="inlineStr">
        <is>
          <t xml:space="preserve">Must equal the commission pool</t>
        </is>
      </c>
    </row>
    <row r="24">
      <c r="A24" s="15" t="inlineStr">
        <is>
          <t xml:space="preserve">Sub-Franchisee remainder % (how Commission Settings fills SF)</t>
        </is>
      </c>
    </row>
    <row r="25">
      <c r="A25" s="0" t="inlineStr">
        <is>
          <t xml:space="preserve">Retailer % entered</t>
        </is>
      </c>
      <c r="B25" s="10">
        <v>0.25</v>
      </c>
    </row>
    <row r="26">
      <c r="A26" s="0" t="inlineStr">
        <is>
          <t xml:space="preserve">Franchisee % entered</t>
        </is>
      </c>
      <c r="B26" s="10">
        <v>0.2</v>
      </c>
    </row>
    <row r="27">
      <c r="A27" s="0" t="inlineStr">
        <is>
          <t xml:space="preserve">Platform share % (fixed when a Sub exists)</t>
        </is>
      </c>
      <c r="B27" s="10">
        <v>0.4</v>
      </c>
    </row>
    <row r="28">
      <c r="A28" s="0" t="inlineStr">
        <is>
          <t xml:space="preserve">Computed Sub-Franchisee %</t>
        </is>
      </c>
      <c r="B28" s="11">
        <f>MAX(0,1-B25-B26-B27)</f>
      </c>
      <c r="C28" s="0" t="inlineStr">
        <is>
          <t xml:space="preserve">SF% = 100% − retailer − franchisee − platform</t>
        </is>
      </c>
    </row>
    <row r="30">
      <c r="A30" s="5" t="inlineStr">
        <is>
          <t xml:space="preserve">Retailer B demo plan: 30% / 15% / 15% / 40%. New Commission Settings dialog defaults: 30% / 20% / 10% / 40%.</t>
        </is>
      </c>
    </row>
  </sheetData>
</worksheet>
</file>

<file path=xl/worksheets/sheet3.xml><?xml version="1.0" encoding="utf-8"?>
<worksheet xmlns="http://schemas.openxmlformats.org/spreadsheetml/2006/main">
  <dimension ref="A1:D43"/>
  <sheetViews>
    <sheetView workbookViewId="0" tabSelected="0"/>
  </sheetViews>
  <sheetFormatPr defaultRowHeight="15"/>
  <cols>
    <col min="1" max="1" width="44" customWidth="1"/>
    <col min="2" max="2" width="18" customWidth="1"/>
    <col min="3" max="3" width="18" customWidth="1"/>
    <col min="4" max="4" width="48" customWidth="1"/>
  </cols>
  <sheetData>
    <row r="1">
      <c r="A1" s="15" t="inlineStr">
        <is>
          <t xml:space="preserve">Same numbers as the user guide</t>
        </is>
      </c>
    </row>
    <row r="3">
      <c r="A3" s="4" t="inlineStr">
        <is>
          <t xml:space="preserve">1. Sub-Franchisee New Credits Request to Admin @ 60%</t>
        </is>
      </c>
    </row>
    <row r="4">
      <c r="A4" s="1" t="inlineStr">
        <is>
          <t xml:space="preserve">Step</t>
        </is>
      </c>
      <c r="B4" s="1" t="inlineStr">
        <is>
          <t xml:space="preserve">Amount (₱)</t>
        </is>
      </c>
      <c r="C4" s="1" t="inlineStr">
        <is>
          <t xml:space="preserve"/>
        </is>
      </c>
      <c r="D4" s="1" t="inlineStr">
        <is>
          <t xml:space="preserve">Formula</t>
        </is>
      </c>
    </row>
    <row r="5">
      <c r="A5" s="0" t="inlineStr">
        <is>
          <t xml:space="preserve">Cash deposited to Admin</t>
        </is>
      </c>
      <c r="B5" s="7">
        <v>30000</v>
      </c>
    </row>
    <row r="6">
      <c r="A6" s="0" t="inlineStr">
        <is>
          <t xml:space="preserve">Deposit rate</t>
        </is>
      </c>
      <c r="B6" s="10">
        <v>0.6</v>
      </c>
    </row>
    <row r="7">
      <c r="A7" s="0" t="inlineStr">
        <is>
          <t xml:space="preserve">Suggested credits</t>
        </is>
      </c>
      <c r="B7" s="8">
        <f>ROUND(B5/B6,2)</f>
      </c>
      <c r="D7" s="0" t="inlineStr">
        <is>
          <t xml:space="preserve">30,000 ÷ 0.60 = 50,000</t>
        </is>
      </c>
    </row>
    <row r="9">
      <c r="A9" s="4" t="inlineStr">
        <is>
          <t xml:space="preserve">2. Sub Direct Release to Franchisee A @ 70%</t>
        </is>
      </c>
    </row>
    <row r="10">
      <c r="A10" s="0" t="inlineStr">
        <is>
          <t xml:space="preserve">Cash received from Franchisee A</t>
        </is>
      </c>
      <c r="B10" s="7">
        <v>7000</v>
      </c>
    </row>
    <row r="11">
      <c r="A11" s="0" t="inlineStr">
        <is>
          <t xml:space="preserve">Sell rate</t>
        </is>
      </c>
      <c r="B11" s="10">
        <v>0.7</v>
      </c>
    </row>
    <row r="12">
      <c r="A12" s="0" t="inlineStr">
        <is>
          <t xml:space="preserve">Credits released</t>
        </is>
      </c>
      <c r="B12" s="8">
        <f>ROUND(B10/B11,2)</f>
      </c>
      <c r="D12" s="0" t="inlineStr">
        <is>
          <t xml:space="preserve">7,000 ÷ 0.70 = 10,000</t>
        </is>
      </c>
    </row>
    <row r="13">
      <c r="A13" s="0" t="inlineStr">
        <is>
          <t xml:space="preserve">Sub buy rate (paid Admin)</t>
        </is>
      </c>
      <c r="B13" s="10">
        <v>0.6</v>
      </c>
    </row>
    <row r="14">
      <c r="A14" s="0" t="inlineStr">
        <is>
          <t xml:space="preserve">Sub cost</t>
        </is>
      </c>
      <c r="B14" s="8">
        <f>ROUND(B12*B13,2)</f>
      </c>
    </row>
    <row r="15">
      <c r="A15" s="0" t="inlineStr">
        <is>
          <t xml:space="preserve">Sub Internet Credits earnings</t>
        </is>
      </c>
      <c r="B15" s="8">
        <f>ROUND(B10-B14,2)</f>
      </c>
      <c r="D15" s="0" t="inlineStr">
        <is>
          <t xml:space="preserve">7,000 − 6,000 = 1,000  (same as 10,000 × 10 points)</t>
        </is>
      </c>
    </row>
    <row r="17">
      <c r="A17" s="4" t="inlineStr">
        <is>
          <t xml:space="preserve">3. Retailer A New Credits Request @ 80%</t>
        </is>
      </c>
    </row>
    <row r="18">
      <c r="A18" s="0" t="inlineStr">
        <is>
          <t xml:space="preserve">Cash deposited to Franchisee A</t>
        </is>
      </c>
      <c r="B18" s="7">
        <v>1600</v>
      </c>
    </row>
    <row r="19">
      <c r="A19" s="0" t="inlineStr">
        <is>
          <t xml:space="preserve">Deposit rate</t>
        </is>
      </c>
      <c r="B19" s="10">
        <v>0.8</v>
      </c>
    </row>
    <row r="20">
      <c r="A20" s="0" t="inlineStr">
        <is>
          <t xml:space="preserve">Suggested credits</t>
        </is>
      </c>
      <c r="B20" s="8">
        <f>ROUND(B18/B19,2)</f>
      </c>
      <c r="D20" s="0" t="inlineStr">
        <is>
          <t xml:space="preserve">1,600 ÷ 0.80 = 2,000</t>
        </is>
      </c>
    </row>
    <row r="22">
      <c r="A22" s="4" t="inlineStr">
        <is>
          <t xml:space="preserve">4. Franchisee earnings on 1,000 credits sold at 80%</t>
        </is>
      </c>
    </row>
    <row r="23">
      <c r="A23" s="0" t="inlineStr">
        <is>
          <t xml:space="preserve">Cash in from retailer</t>
        </is>
      </c>
      <c r="B23" s="7">
        <v>800</v>
      </c>
    </row>
    <row r="24">
      <c r="A24" s="0" t="inlineStr">
        <is>
          <t xml:space="preserve">Credits</t>
        </is>
      </c>
      <c r="B24" s="7">
        <v>1000</v>
      </c>
    </row>
    <row r="25">
      <c r="A25" s="0" t="inlineStr">
        <is>
          <t xml:space="preserve">Franchisee buy rate</t>
        </is>
      </c>
      <c r="B25" s="10">
        <v>0.7</v>
      </c>
    </row>
    <row r="26">
      <c r="A26" s="0" t="inlineStr">
        <is>
          <t xml:space="preserve">Franchisee cost</t>
        </is>
      </c>
      <c r="B26" s="8">
        <f>ROUND(B24*B25,2)</f>
      </c>
    </row>
    <row r="27">
      <c r="A27" s="0" t="inlineStr">
        <is>
          <t xml:space="preserve">Franchisee Internet Credits earnings</t>
        </is>
      </c>
      <c r="B27" s="8">
        <f>ROUND(B23-B26,2)</f>
      </c>
      <c r="D27" s="0" t="inlineStr">
        <is>
          <t xml:space="preserve">800 − 700 = 100</t>
        </is>
      </c>
    </row>
    <row r="29">
      <c r="A29" s="4" t="inlineStr">
        <is>
          <t xml:space="preserve">5. ₱1,000 Retailer A demo sale (25 / 20 / 15 / 40)</t>
        </is>
      </c>
    </row>
    <row r="30">
      <c r="A30" s="0" t="inlineStr">
        <is>
          <t xml:space="preserve">Customer payment</t>
        </is>
      </c>
      <c r="B30" s="7">
        <v>1000</v>
      </c>
    </row>
    <row r="31">
      <c r="A31" s="0" t="inlineStr">
        <is>
          <t xml:space="preserve">Credits consumed</t>
        </is>
      </c>
      <c r="B31" s="8">
        <f>ROUND(B30*0.97,2)</f>
      </c>
      <c r="D31" s="0" t="inlineStr">
        <is>
          <t xml:space="preserve">97% of ₱1,000 = ₱970</t>
        </is>
      </c>
    </row>
    <row r="32">
      <c r="A32" s="0" t="inlineStr">
        <is>
          <t xml:space="preserve">Commission pool</t>
        </is>
      </c>
      <c r="B32" s="8">
        <f>ROUND(B30-B31,2)</f>
      </c>
      <c r="D32" s="0" t="inlineStr">
        <is>
          <t xml:space="preserve">1,000 − 970 = 30</t>
        </is>
      </c>
    </row>
    <row r="33">
      <c r="A33" s="0" t="inlineStr">
        <is>
          <t xml:space="preserve">Retailer A 25%</t>
        </is>
      </c>
      <c r="B33" s="8">
        <f>ROUND(B32*0.25,2)</f>
      </c>
      <c r="D33" s="0" t="inlineStr">
        <is>
          <t xml:space="preserve">7.50</t>
        </is>
      </c>
    </row>
    <row r="34">
      <c r="A34" s="0" t="inlineStr">
        <is>
          <t xml:space="preserve">Franchisee A 20%</t>
        </is>
      </c>
      <c r="B34" s="8">
        <f>ROUND(B32*0.20,2)</f>
      </c>
      <c r="D34" s="0" t="inlineStr">
        <is>
          <t xml:space="preserve">6.00</t>
        </is>
      </c>
    </row>
    <row r="35">
      <c r="A35" s="0" t="inlineStr">
        <is>
          <t xml:space="preserve">Sub-Franchisee 15%</t>
        </is>
      </c>
      <c r="B35" s="8">
        <f>ROUND(B32*0.15,2)</f>
      </c>
      <c r="D35" s="0" t="inlineStr">
        <is>
          <t xml:space="preserve">4.50</t>
        </is>
      </c>
    </row>
    <row r="36">
      <c r="A36" s="0" t="inlineStr">
        <is>
          <t xml:space="preserve">Platform 40% (remainder)</t>
        </is>
      </c>
      <c r="B36" s="8">
        <f>ROUND(B32-B33-B34-B35,2)</f>
      </c>
      <c r="D36" s="0" t="inlineStr">
        <is>
          <t xml:space="preserve">12.00</t>
        </is>
      </c>
    </row>
    <row r="38">
      <c r="A38" s="4" t="inlineStr">
        <is>
          <t xml:space="preserve">6. Wallet identity after that sale</t>
        </is>
      </c>
    </row>
    <row r="39">
      <c r="A39" s="0" t="inlineStr">
        <is>
          <t xml:space="preserve">Retailer opening / received credits</t>
        </is>
      </c>
      <c r="B39" s="7">
        <v>6250</v>
      </c>
    </row>
    <row r="40">
      <c r="A40" s="0" t="inlineStr">
        <is>
          <t xml:space="preserve">Credits consumed on the sale</t>
        </is>
      </c>
      <c r="B40" s="8">
        <f>B31</f>
      </c>
    </row>
    <row r="41">
      <c r="A41" s="0" t="inlineStr">
        <is>
          <t xml:space="preserve">Available Credits after the sale</t>
        </is>
      </c>
      <c r="B41" s="8">
        <f>ROUND(B39-B40,2)</f>
      </c>
      <c r="D41" s="0" t="inlineStr">
        <is>
          <t xml:space="preserve">6,250 − 970 = 5,280  (Sufficient, above ₱5,000)</t>
        </is>
      </c>
    </row>
    <row r="42">
      <c r="A42" s="0" t="inlineStr">
        <is>
          <t xml:space="preserve">Retailer B sample (low)</t>
        </is>
      </c>
      <c r="B42" s="7">
        <v>2500</v>
      </c>
    </row>
    <row r="43">
      <c r="A43" s="0" t="inlineStr">
        <is>
          <t xml:space="preserve">Alert?</t>
        </is>
      </c>
      <c r="B43" s="3">
        <f>IF(B42&lt;=0,"Zero Balance",IF(B42&lt;=5000,"Low Balance","Sufficient"))</f>
      </c>
      <c r="D43" s="0" t="inlineStr">
        <is>
          <t xml:space="preserve">Low Balance banner when ₱5,000 or less, and still above ₱0</t>
        </is>
      </c>
    </row>
  </sheetData>
</worksheet>
</file>

<file path=xl/worksheets/sheet4.xml><?xml version="1.0" encoding="utf-8"?>
<worksheet xmlns="http://schemas.openxmlformats.org/spreadsheetml/2006/main">
  <dimension ref="A1:F31"/>
  <sheetViews>
    <sheetView workbookViewId="0" tabSelected="0">
      <pane ySplit="1" topLeftCell="A2" activePane="bottomLeft" state="frozen"/>
    </sheetView>
  </sheetViews>
  <sheetFormatPr defaultRowHeight="15"/>
  <cols>
    <col min="1" max="1" width="40" customWidth="1"/>
    <col min="2" max="2" width="22" customWidth="1"/>
    <col min="3" max="3" width="22" customWidth="1"/>
    <col min="4" max="4" width="22" customWidth="1"/>
    <col min="5" max="5" width="22" customWidth="1"/>
    <col min="6" max="6" width="36" customWidth="1"/>
  </cols>
  <sheetData>
    <row r="1">
      <c r="A1" s="15" t="inlineStr">
        <is>
          <t xml:space="preserve">Locked demo defaults (empty-demo seed)</t>
        </is>
      </c>
    </row>
    <row r="3">
      <c r="A3" s="4" t="inlineStr">
        <is>
          <t xml:space="preserve">Deposit rate hops</t>
        </is>
      </c>
    </row>
    <row r="4">
      <c r="A4" s="1" t="inlineStr">
        <is>
          <t xml:space="preserve">Hop</t>
        </is>
      </c>
      <c r="B4" s="1" t="inlineStr">
        <is>
          <t xml:space="preserve">Rate</t>
        </is>
      </c>
      <c r="C4" s="1" t="inlineStr">
        <is>
          <t xml:space="preserve">Cash for 1,000 credits</t>
        </is>
      </c>
      <c r="D4" s="1" t="inlineStr">
        <is>
          <t xml:space="preserve">Credits for ₱10,000 cash</t>
        </is>
      </c>
    </row>
    <row r="5">
      <c r="A5" s="0" t="inlineStr">
        <is>
          <t xml:space="preserve">Admin → Sub-Franchisee</t>
        </is>
      </c>
      <c r="B5" s="9">
        <v>0.6</v>
      </c>
      <c r="C5" s="8">
        <f>ROUND(1000*B5,2)</f>
      </c>
      <c r="D5" s="8">
        <f>ROUND(10000/B5,2)</f>
      </c>
    </row>
    <row r="6">
      <c r="A6" s="0" t="inlineStr">
        <is>
          <t xml:space="preserve">Sub-Franchisee → Franchisee</t>
        </is>
      </c>
      <c r="B6" s="9">
        <v>0.7</v>
      </c>
      <c r="C6" s="8">
        <f>ROUND(1000*B6,2)</f>
      </c>
      <c r="D6" s="8">
        <f>ROUND(10000/B6,2)</f>
      </c>
    </row>
    <row r="7">
      <c r="A7" s="0" t="inlineStr">
        <is>
          <t xml:space="preserve">Franchisee → Retailer</t>
        </is>
      </c>
      <c r="B7" s="9">
        <v>0.8</v>
      </c>
      <c r="C7" s="8">
        <f>ROUND(1000*B7,2)</f>
      </c>
      <c r="D7" s="8">
        <f>ROUND(10000/B7,2)</f>
      </c>
    </row>
    <row r="9">
      <c r="A9" s="4" t="inlineStr">
        <is>
          <t xml:space="preserve">Commission Settings (seeded per retailer)</t>
        </is>
      </c>
    </row>
    <row r="10">
      <c r="A10" s="1" t="inlineStr">
        <is>
          <t xml:space="preserve">Retailer</t>
        </is>
      </c>
      <c r="B10" s="1" t="inlineStr">
        <is>
          <t xml:space="preserve">Retailer %</t>
        </is>
      </c>
      <c r="C10" s="1" t="inlineStr">
        <is>
          <t xml:space="preserve">Franchisee %</t>
        </is>
      </c>
      <c r="D10" s="1" t="inlineStr">
        <is>
          <t xml:space="preserve">Sub-Franchisee %</t>
        </is>
      </c>
      <c r="E10" s="1" t="inlineStr">
        <is>
          <t xml:space="preserve">Platform %</t>
        </is>
      </c>
      <c r="F10" s="1" t="inlineStr">
        <is>
          <t xml:space="preserve">Notes</t>
        </is>
      </c>
    </row>
    <row r="11">
      <c r="A11" s="0" t="inlineStr">
        <is>
          <t xml:space="preserve">Retailer A</t>
        </is>
      </c>
      <c r="B11" s="9">
        <v>0.25</v>
      </c>
      <c r="C11" s="9">
        <v>0.2</v>
      </c>
      <c r="D11" s="9">
        <v>0.15</v>
      </c>
      <c r="E11" s="9">
        <v>0.4</v>
      </c>
      <c r="F11" s="0" t="inlineStr">
        <is>
          <t xml:space="preserve">sharePlans[0]; SF is remainder</t>
        </is>
      </c>
    </row>
    <row r="12">
      <c r="A12" s="0" t="inlineStr">
        <is>
          <t xml:space="preserve">Retailer B</t>
        </is>
      </c>
      <c r="B12" s="9">
        <v>0.3</v>
      </c>
      <c r="C12" s="9">
        <v>0.15</v>
      </c>
      <c r="D12" s="9">
        <v>0.15</v>
      </c>
      <c r="E12" s="9">
        <v>0.4</v>
      </c>
      <c r="F12" s="0" t="inlineStr">
        <is>
          <t xml:space="preserve">sharePlans[1]; SF is remainder</t>
        </is>
      </c>
    </row>
    <row r="13">
      <c r="A13" s="0" t="inlineStr">
        <is>
          <t xml:space="preserve">Retailer C</t>
        </is>
      </c>
      <c r="B13" s="9">
        <v>0.25</v>
      </c>
      <c r="C13" s="9">
        <v>0.2</v>
      </c>
      <c r="D13" s="9">
        <v>0.15</v>
      </c>
      <c r="E13" s="9">
        <v>0.4</v>
      </c>
      <c r="F13" s="0" t="inlineStr">
        <is>
          <t xml:space="preserve">Same plan as A (index 2 % 2)</t>
        </is>
      </c>
    </row>
    <row r="14">
      <c r="A14" s="0" t="inlineStr">
        <is>
          <t xml:space="preserve">New-settings dialog default</t>
        </is>
      </c>
      <c r="B14" s="9">
        <v>0.3</v>
      </c>
      <c r="C14" s="9">
        <v>0.2</v>
      </c>
      <c r="D14" s="9">
        <v>0.1</v>
      </c>
      <c r="E14" s="9">
        <v>0.4</v>
      </c>
      <c r="F14" s="0" t="inlineStr">
        <is>
          <t xml:space="preserve">DEFAULT_SHARE_PERCENTAGES if you create a new row</t>
        </is>
      </c>
    </row>
    <row r="16">
      <c r="A16" s="4" t="inlineStr">
        <is>
          <t xml:space="preserve">Opening Available Credits (fresh Reset Demo Data)</t>
        </is>
      </c>
    </row>
    <row r="17">
      <c r="A17" s="1" t="inlineStr">
        <is>
          <t xml:space="preserve">Role / org</t>
        </is>
      </c>
      <c r="B17" s="1" t="inlineStr">
        <is>
          <t xml:space="preserve">Opening credits (₱)</t>
        </is>
      </c>
    </row>
    <row r="18">
      <c r="A18" s="0" t="inlineStr">
        <is>
          <t xml:space="preserve">Admin / platform</t>
        </is>
      </c>
      <c r="B18" s="6">
        <v>500000</v>
      </c>
    </row>
    <row r="19">
      <c r="A19" s="0" t="inlineStr">
        <is>
          <t xml:space="preserve">Sub-Franchisee</t>
        </is>
      </c>
      <c r="B19" s="6">
        <v>135000</v>
      </c>
    </row>
    <row r="20">
      <c r="A20" s="0" t="inlineStr">
        <is>
          <t xml:space="preserve">Franchisee A / B</t>
        </is>
      </c>
      <c r="B20" s="6">
        <v>0</v>
      </c>
    </row>
    <row r="21">
      <c r="A21" s="0" t="inlineStr">
        <is>
          <t xml:space="preserve">Retailer A / B / C</t>
        </is>
      </c>
      <c r="B21" s="6">
        <v>0</v>
      </c>
    </row>
    <row r="23">
      <c r="A23" s="4" t="inlineStr">
        <is>
          <t xml:space="preserve">Alerts</t>
        </is>
      </c>
    </row>
    <row r="24">
      <c r="A24" s="0" t="inlineStr">
        <is>
          <t xml:space="preserve">Low-balance threshold (₱)</t>
        </is>
      </c>
      <c r="B24" s="6">
        <v>5000</v>
      </c>
      <c r="C24" s="0" t="inlineStr">
        <is>
          <t xml:space="preserve">LOW_BALANCE_THRESHOLD — alert when available is this amount or less</t>
        </is>
      </c>
    </row>
    <row r="25">
      <c r="A25" s="0" t="inlineStr">
        <is>
          <t xml:space="preserve">Zero</t>
        </is>
      </c>
      <c r="B25" s="6">
        <v>0</v>
      </c>
      <c r="C25" s="0" t="inlineStr">
        <is>
          <t xml:space="preserve">Red banner; no “or less” copy because the balance is already ₱0</t>
        </is>
      </c>
    </row>
    <row r="27">
      <c r="A27" s="4" t="inlineStr">
        <is>
          <t xml:space="preserve">Revenue totals (Sub / Fran)</t>
        </is>
      </c>
    </row>
    <row r="28">
      <c r="A28" s="0" t="inlineStr">
        <is>
          <t xml:space="preserve">Internet Credits earnings</t>
        </is>
      </c>
      <c r="B28" s="0" t="inlineStr">
        <is>
          <t xml:space="preserve">Sum of spreads on released downline loads in the selected period</t>
        </is>
      </c>
    </row>
    <row r="29">
      <c r="A29" s="0" t="inlineStr">
        <is>
          <t xml:space="preserve">Sales Commission</t>
        </is>
      </c>
      <c r="B29" s="0" t="inlineStr">
        <is>
          <t xml:space="preserve">Sum of your stamped % × pool on completed sales in the period</t>
        </is>
      </c>
    </row>
    <row r="30">
      <c r="A30" s="0" t="inlineStr">
        <is>
          <t xml:space="preserve">Total earnings</t>
        </is>
      </c>
      <c r="B30" s="0" t="inlineStr">
        <is>
          <t xml:space="preserve">IC earnings + Sales Commission</t>
        </is>
      </c>
    </row>
    <row r="31">
      <c r="A31" s="0" t="inlineStr">
        <is>
          <t xml:space="preserve">Retailer Revenue</t>
        </is>
      </c>
      <c r="B31" s="0" t="inlineStr">
        <is>
          <t xml:space="preserve">No IC spread. Cards: Your commission, sales volume, credits consumed</t>
        </is>
      </c>
    </row>
  </sheetData>
</worksheet>
</file>

<file path=xl/worksheets/sheet5.xml><?xml version="1.0" encoding="utf-8"?>
<worksheet xmlns="http://schemas.openxmlformats.org/spreadsheetml/2006/main">
  <dimension ref="A1:C22"/>
  <sheetViews>
    <sheetView workbookViewId="0" tabSelected="0"/>
  </sheetViews>
  <sheetFormatPr defaultRowHeight="15"/>
  <cols>
    <col min="1" max="1" width="42" customWidth="1"/>
    <col min="2" max="2" width="72" customWidth="1"/>
    <col min="3" max="3" width="36" customWidth="1"/>
  </cols>
  <sheetData>
    <row r="1">
      <c r="A1" s="15" t="inlineStr">
        <is>
          <t xml:space="preserve">eSariSari — detailed computations</t>
        </is>
      </c>
    </row>
    <row r="2">
      <c r="A2" s="4" t="inlineStr">
        <is>
          <t xml:space="preserve">Color key</t>
        </is>
      </c>
      <c r="B2" s="2" t="inlineStr">
        <is>
          <t xml:space="preserve">Type here</t>
        </is>
      </c>
      <c r="C2" s="0" t="inlineStr">
        <is>
          <t xml:space="preserve">← Yellow = input. Change this cell; calculators use the same fill.</t>
        </is>
      </c>
    </row>
    <row r="3">
      <c r="A3" s="5" t="inlineStr">
        <is>
          <t xml:space="preserve">This workbook is the same math the demo app uses (18 August 2026). Grey cells are formulas — do not type over them. Excel recalculates on open. Open the Load calculator or Sale calculator tabs to edit yellow inputs.</t>
        </is>
      </c>
    </row>
    <row r="4">
      <c r="A4" s="4" t="inlineStr">
        <is>
          <t xml:space="preserve">Two separate earning streams</t>
        </is>
      </c>
    </row>
    <row r="5">
      <c r="A5" s="1" t="inlineStr">
        <is>
          <t xml:space="preserve">Stream</t>
        </is>
      </c>
      <c r="B5" s="1" t="inlineStr">
        <is>
          <t xml:space="preserve">When it happens</t>
        </is>
      </c>
      <c r="C5" s="1" t="inlineStr">
        <is>
          <t xml:space="preserve">What you earn</t>
        </is>
      </c>
    </row>
    <row r="6">
      <c r="A6" s="0" t="inlineStr">
        <is>
          <t xml:space="preserve">Internet Credits earnings</t>
        </is>
      </c>
      <c r="B6" s="0" t="inlineStr">
        <is>
          <t xml:space="preserve">You release credits after a downline deposit (request or Direct Release)</t>
        </is>
      </c>
      <c r="C6" s="0" t="inlineStr">
        <is>
          <t xml:space="preserve">Admin: cash collected. Sub/Fran: cash in − (credits × your buy rate)</t>
        </is>
      </c>
    </row>
    <row r="7">
      <c r="A7" s="0" t="inlineStr">
        <is>
          <t xml:space="preserve">Sales Commission</t>
        </is>
      </c>
      <c r="B7" s="0" t="inlineStr">
        <is>
          <t xml:space="preserve">A retailer records an internet sale</t>
        </is>
      </c>
      <c r="C7" s="0" t="inlineStr">
        <is>
          <t xml:space="preserve">Your % of the commission pool (customer payment − credits consumed)</t>
        </is>
      </c>
    </row>
    <row r="9">
      <c r="A9" s="4" t="inlineStr">
        <is>
          <t xml:space="preserve">Display rule</t>
        </is>
      </c>
    </row>
    <row r="10">
      <c r="A10" s="0" t="inlineStr">
        <is>
          <t xml:space="preserve">1 credit face = ₱1 for display. Available Credits are inventory, not bank cash.</t>
        </is>
      </c>
    </row>
    <row r="12">
      <c r="A12" s="4" t="inlineStr">
        <is>
          <t xml:space="preserve">Rounding</t>
        </is>
      </c>
    </row>
    <row r="13">
      <c r="A13" s="5" t="inlineStr">
        <is>
          <t xml:space="preserve">Every peso amount is ROUND(value, 2), matching the app (two decimal places). Credits suggested from a deposit use the same rounding: ROUND(deposit ÷ rate, 2).</t>
        </is>
      </c>
    </row>
    <row r="15">
      <c r="A15" s="4" t="inlineStr">
        <is>
          <t xml:space="preserve">Sheets (left to right)</t>
        </is>
      </c>
    </row>
    <row r="16">
      <c r="A16" s="1" t="inlineStr">
        <is>
          <t xml:space="preserve">Sheet</t>
        </is>
      </c>
      <c r="B16" s="1" t="inlineStr">
        <is>
          <t xml:space="preserve">Use it for</t>
        </is>
      </c>
    </row>
    <row r="17">
      <c r="A17" s="0" t="inlineStr">
        <is>
          <t xml:space="preserve">Load calculator</t>
        </is>
      </c>
      <c r="B17" s="0" t="inlineStr">
        <is>
          <t xml:space="preserve">Convert cash ↔ credits, walk 1,000 credits down the chain, compute Sub/Fran spread</t>
        </is>
      </c>
    </row>
    <row r="18">
      <c r="A18" s="0" t="inlineStr">
        <is>
          <t xml:space="preserve">Sale calculator</t>
        </is>
      </c>
      <c r="B18" s="0" t="inlineStr">
        <is>
          <t xml:space="preserve">Demo sale: 97% credits consumed, then the 4-tier commission split</t>
        </is>
      </c>
    </row>
    <row r="19">
      <c r="A19" s="0" t="inlineStr">
        <is>
          <t xml:space="preserve">Worked examples</t>
        </is>
      </c>
      <c r="B19" s="0" t="inlineStr">
        <is>
          <t xml:space="preserve">Numbers used in the user guide (₱30,000 load, ₱1,000 sale, Retailer A split)</t>
        </is>
      </c>
    </row>
    <row r="20">
      <c r="A20" s="0" t="inlineStr">
        <is>
          <t xml:space="preserve">Demo defaults</t>
        </is>
      </c>
      <c r="B20" s="0" t="inlineStr">
        <is>
          <t xml:space="preserve">Hop rates, commission plans, opening balances, low-balance alert</t>
        </is>
      </c>
    </row>
    <row r="21">
      <c r="A21" s="0" t="inlineStr">
        <is>
          <t xml:space="preserve">Read me</t>
        </is>
      </c>
      <c r="B21" s="0" t="inlineStr">
        <is>
          <t xml:space="preserve">This tab — two earning streams, rounding, color key</t>
        </is>
      </c>
    </row>
    <row r="22">
      <c r="A22" s="0" t="inlineStr">
        <is>
          <t xml:space="preserve">All formulas</t>
        </is>
      </c>
      <c r="B22" s="0" t="inlineStr">
        <is>
          <t xml:space="preserve">Catalog of every computation and where it appears in the app</t>
        </is>
      </c>
    </row>
  </sheetData>
</worksheet>
</file>

<file path=xl/worksheets/sheet6.xml><?xml version="1.0" encoding="utf-8"?>
<worksheet xmlns="http://schemas.openxmlformats.org/spreadsheetml/2006/main">
  <dimension ref="A1:D18"/>
  <sheetViews>
    <sheetView workbookViewId="0" tabSelected="0">
      <pane ySplit="1" topLeftCell="A2" activePane="bottomLeft" state="frozen"/>
    </sheetView>
  </sheetViews>
  <sheetFormatPr defaultRowHeight="15"/>
  <cols>
    <col min="1" max="1" width="34" customWidth="1"/>
    <col min="2" max="2" width="58" customWidth="1"/>
    <col min="3" max="3" width="42" customWidth="1"/>
    <col min="4" max="4" width="42" customWidth="1"/>
  </cols>
  <sheetData>
    <row r="1">
      <c r="A1" s="15" t="inlineStr">
        <is>
          <t xml:space="preserve">Formula catalog (matches src/lib)</t>
        </is>
      </c>
    </row>
    <row r="2">
      <c r="A2" s="1" t="inlineStr">
        <is>
          <t xml:space="preserve">Name</t>
        </is>
      </c>
      <c r="B2" s="1" t="inlineStr">
        <is>
          <t xml:space="preserve">App formula</t>
        </is>
      </c>
      <c r="C2" s="1" t="inlineStr">
        <is>
          <t xml:space="preserve">Excel</t>
        </is>
      </c>
      <c r="D2" s="1" t="inlineStr">
        <is>
          <t xml:space="preserve">Where you see it</t>
        </is>
      </c>
    </row>
    <row r="3">
      <c r="A3" s="0" t="inlineStr">
        <is>
          <t xml:space="preserve">Suggested credits</t>
        </is>
      </c>
      <c r="B3" s="16" t="inlineStr">
        <is>
          <t xml:space="preserve">credits = deposit ÷ deposit_rate</t>
        </is>
      </c>
      <c r="C3" s="0" t="inlineStr">
        <is>
          <t xml:space="preserve">ROUND(deposit/rate,2)</t>
        </is>
      </c>
      <c r="D3" s="16" t="inlineStr">
        <is>
          <t xml:space="preserve">New Credits Request, Direct Release, Approve &amp; Release</t>
        </is>
      </c>
    </row>
    <row r="4">
      <c r="A4" s="0" t="inlineStr">
        <is>
          <t xml:space="preserve">Cash for N credits</t>
        </is>
      </c>
      <c r="B4" s="16" t="inlineStr">
        <is>
          <t xml:space="preserve">cash = credits × deposit_rate</t>
        </is>
      </c>
      <c r="C4" s="0" t="inlineStr">
        <is>
          <t xml:space="preserve">ROUND(credits*rate,2)</t>
        </is>
      </c>
      <c r="D4" s="16" t="inlineStr">
        <is>
          <t xml:space="preserve">Suggested-credits copy (“1,000 credits = ₱…”) </t>
        </is>
      </c>
    </row>
    <row r="5">
      <c r="A5" s="0" t="inlineStr">
        <is>
          <t xml:space="preserve">Admin IC earnings</t>
        </is>
      </c>
      <c r="B5" s="16" t="inlineStr">
        <is>
          <t xml:space="preserve">earnings = cash collected on released loads</t>
        </is>
      </c>
      <c r="C5" s="0" t="inlineStr">
        <is>
          <t xml:space="preserve">cash_in</t>
        </is>
      </c>
      <c r="D5" s="16" t="inlineStr">
        <is>
          <t xml:space="preserve">Admin Revenue / Reports — Internet Credits earnings</t>
        </is>
      </c>
    </row>
    <row r="6">
      <c r="A6" s="0" t="inlineStr">
        <is>
          <t xml:space="preserve">Sub/Fran IC earnings (spread)</t>
        </is>
      </c>
      <c r="B6" s="16" t="inlineStr">
        <is>
          <t xml:space="preserve">spread = cash_in − (credits × viewer_buy_rate)</t>
        </is>
      </c>
      <c r="C6" s="0" t="inlineStr">
        <is>
          <t xml:space="preserve">ROUND(cash_in-ROUND(credits*buy_rate,2),2)</t>
        </is>
      </c>
      <c r="D6" s="16" t="inlineStr">
        <is>
          <t xml:space="preserve">Sub/Fran Revenue — Internet Credits earnings</t>
        </is>
      </c>
    </row>
    <row r="7">
      <c r="A7" s="0" t="inlineStr">
        <is>
          <t xml:space="preserve">Credits consumed</t>
        </is>
      </c>
      <c r="B7" s="16" t="inlineStr">
        <is>
          <t xml:space="preserve">credits_consumed = customer_payment × 97%</t>
        </is>
      </c>
      <c r="C7" s="0" t="inlineStr">
        <is>
          <t xml:space="preserve">ROUND(payment*0.97,2)</t>
        </is>
      </c>
      <c r="D7" s="16" t="inlineStr">
        <is>
          <t xml:space="preserve">Record demo sale, Transactions, Wallet, Revenue (retailer)</t>
        </is>
      </c>
    </row>
    <row r="8">
      <c r="A8" s="0" t="inlineStr">
        <is>
          <t xml:space="preserve">Commission pool / sale margin</t>
        </is>
      </c>
      <c r="B8" s="16" t="inlineStr">
        <is>
          <t xml:space="preserve">pool = customer_payment − credits_consumed</t>
        </is>
      </c>
      <c r="C8" s="0" t="inlineStr">
        <is>
          <t xml:space="preserve">ROUND(payment-credits_consumed,2)</t>
        </is>
      </c>
      <c r="D8" s="16" t="inlineStr">
        <is>
          <t xml:space="preserve">Transactions, Transaction Details, Wallet Sale Margin</t>
        </is>
      </c>
    </row>
    <row r="9">
      <c r="A9" s="0" t="inlineStr">
        <is>
          <t xml:space="preserve">Party commission</t>
        </is>
      </c>
      <c r="B9" s="16" t="inlineStr">
        <is>
          <t xml:space="preserve">share = pool × party_% ÷ 100</t>
        </is>
      </c>
      <c r="C9" s="0" t="inlineStr">
        <is>
          <t xml:space="preserve">ROUND(pool*pct/100,2)</t>
        </is>
      </c>
      <c r="D9" s="16" t="inlineStr">
        <is>
          <t xml:space="preserve">Transaction Details, Revenue Sales Commission, Reports</t>
        </is>
      </c>
    </row>
    <row r="10">
      <c r="A10" s="0" t="inlineStr">
        <is>
          <t xml:space="preserve">Platform remainder</t>
        </is>
      </c>
      <c r="B10" s="16" t="inlineStr">
        <is>
          <t xml:space="preserve">platform = pool − retailer − franchisee − sub-franchisee</t>
        </is>
      </c>
      <c r="C10" s="0" t="inlineStr">
        <is>
          <t xml:space="preserve">ROUND(pool-ret-fran-sub,2)</t>
        </is>
      </c>
      <c r="D10" s="16" t="inlineStr">
        <is>
          <t xml:space="preserve">Transaction Details (absorbs 1-cent rounding)</t>
        </is>
      </c>
    </row>
    <row r="11">
      <c r="A11" s="0" t="inlineStr">
        <is>
          <t xml:space="preserve">Sub-Franchisee remainder %</t>
        </is>
      </c>
      <c r="B11" s="16" t="inlineStr">
        <is>
          <t xml:space="preserve">SF% = max(0, 100 − retailer% − franchisee% − platform%)</t>
        </is>
      </c>
      <c r="C11" s="0" t="inlineStr">
        <is>
          <t xml:space="preserve">MAX(0,1-ret-fran-plat)</t>
        </is>
      </c>
      <c r="D11" s="16" t="inlineStr">
        <is>
          <t xml:space="preserve">Commission Settings when a Sub-Franchisee exists</t>
        </is>
      </c>
    </row>
    <row r="12">
      <c r="A12" s="0" t="inlineStr">
        <is>
          <t xml:space="preserve">Total earnings (Sub/Fran)</t>
        </is>
      </c>
      <c r="B12" s="16" t="inlineStr">
        <is>
          <t xml:space="preserve">total = IC earnings + Sales Commission (credited)</t>
        </is>
      </c>
      <c r="C12" s="0" t="inlineStr">
        <is>
          <t xml:space="preserve">ic_earnings+sales_commission</t>
        </is>
      </c>
      <c r="D12" s="16" t="inlineStr">
        <is>
          <t xml:space="preserve">Revenue hero cards</t>
        </is>
      </c>
    </row>
    <row r="13">
      <c r="A13" s="0" t="inlineStr">
        <is>
          <t xml:space="preserve">Available Credits</t>
        </is>
      </c>
      <c r="B13" s="16" t="inlineStr">
        <is>
          <t xml:space="preserve">available = opening + received − released − consumed on sales</t>
        </is>
      </c>
      <c r="C13" s="0" t="inlineStr">
        <is>
          <t xml:space="preserve">opening+in-out-consumed</t>
        </is>
      </c>
      <c r="D13" s="16" t="inlineStr">
        <is>
          <t xml:space="preserve">Wallets / Wallet, after-release preview</t>
        </is>
      </c>
    </row>
    <row r="14">
      <c r="A14" s="0" t="inlineStr">
        <is>
          <t xml:space="preserve">Low Balance</t>
        </is>
      </c>
      <c r="B14" s="16" t="inlineStr">
        <is>
          <t xml:space="preserve">0 &lt; available ≤ 5,000</t>
        </is>
      </c>
      <c r="C14" s="0" t="inlineStr">
        <is>
          <t xml:space="preserve">AND(available&gt;0,available&lt;=5000)</t>
        </is>
      </c>
      <c r="D14" s="16" t="inlineStr">
        <is>
          <t xml:space="preserve">Wallet banner, bell, status badge</t>
        </is>
      </c>
    </row>
    <row r="15">
      <c r="A15" s="0" t="inlineStr">
        <is>
          <t xml:space="preserve">Zero Balance</t>
        </is>
      </c>
      <c r="B15" s="16" t="inlineStr">
        <is>
          <t xml:space="preserve">available ≤ 0</t>
        </is>
      </c>
      <c r="C15" s="0" t="inlineStr">
        <is>
          <t xml:space="preserve">available&lt;=0</t>
        </is>
      </c>
      <c r="D15" s="16" t="inlineStr">
        <is>
          <t xml:space="preserve">Wallet banner (red), bell</t>
        </is>
      </c>
    </row>
    <row r="16">
      <c r="A16" s="0" t="inlineStr">
        <is>
          <t xml:space="preserve">Sufficient</t>
        </is>
      </c>
      <c r="B16" s="16" t="inlineStr">
        <is>
          <t xml:space="preserve">available &gt; 5,000</t>
        </is>
      </c>
      <c r="C16" s="0" t="inlineStr">
        <is>
          <t xml:space="preserve">available&gt;5000</t>
        </is>
      </c>
      <c r="D16" s="16" t="inlineStr">
        <is>
          <t xml:space="preserve">Wallet status badge</t>
        </is>
      </c>
    </row>
    <row r="18">
      <c r="A18" s="5" t="inlineStr">
        <is>
          <t xml:space="preserve">Do not use “deposit + %”. Credits are always deposit divided by the rate.</t>
        </is>
      </c>
    </row>
  </sheetData>
</worksheet>
</file>